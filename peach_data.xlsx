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lareed/Desktop/Job Search 2026/Work samples/"/>
    </mc:Choice>
  </mc:AlternateContent>
  <xr:revisionPtr revIDLastSave="0" documentId="8_{E0C1D04B-9877-B243-A10A-0328A65B43EF}" xr6:coauthVersionLast="47" xr6:coauthVersionMax="47" xr10:uidLastSave="{00000000-0000-0000-0000-000000000000}"/>
  <bookViews>
    <workbookView xWindow="320" yWindow="500" windowWidth="35200" windowHeight="17160" xr2:uid="{939F637B-EC15-8D4A-A335-0ADE34ADF2B9}"/>
  </bookViews>
  <sheets>
    <sheet name="my_peaches" sheetId="1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" l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<sst xmlns="http://schemas.openxmlformats.org/spreadsheetml/2006/main" count="40" uniqueCount="32">
  <si>
    <t>year</t>
  </si>
  <si>
    <t>prod_all</t>
  </si>
  <si>
    <t>util_all</t>
  </si>
  <si>
    <t>util_fresh</t>
  </si>
  <si>
    <t>util_proc</t>
  </si>
  <si>
    <t>price_fresh</t>
  </si>
  <si>
    <t>price_proc</t>
  </si>
  <si>
    <t>price_all</t>
  </si>
  <si>
    <t>cpi</t>
  </si>
  <si>
    <t>wage</t>
  </si>
  <si>
    <t>policy</t>
  </si>
  <si>
    <t>ppi</t>
  </si>
  <si>
    <t>price_proc_dollar</t>
  </si>
  <si>
    <t>spring_temp</t>
  </si>
  <si>
    <t>summer_temp</t>
  </si>
  <si>
    <t>winter_temp</t>
  </si>
  <si>
    <t>spring_prec</t>
  </si>
  <si>
    <t>summer_prec</t>
  </si>
  <si>
    <t>winter_prec</t>
  </si>
  <si>
    <t>fresh_dp</t>
  </si>
  <si>
    <t>proc_dp</t>
  </si>
  <si>
    <t>all_dp</t>
  </si>
  <si>
    <t>visas</t>
  </si>
  <si>
    <t>decmin</t>
  </si>
  <si>
    <t>Utilized Production, fresh (million pounds)</t>
  </si>
  <si>
    <t>Lowest temperature for the month of December F</t>
  </si>
  <si>
    <t>Total precipitation for blooming months (Mar-May) measured in inches</t>
  </si>
  <si>
    <t>Average temperature for blooming months (Mar-May) measured in F</t>
  </si>
  <si>
    <t>Average  temperature for harvest months (Jun-Aug) measured in F</t>
  </si>
  <si>
    <t>Defalted Price Received by Growers, Fresh (cents per pound)</t>
  </si>
  <si>
    <t xml:space="preserve">Total Annual H-2A Visas Issued 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</si>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</sst>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Aptos Narrow"/>
      <family val="2"/>
      <scheme val="minor"/>
    </font>
    <font>
      <sz val="9"/>
      <name val="Arial"/>
      <family val="2"/>
    </font>
    <font>
      <b/>
      <sz val="11"/>
      <name val="Arial"/>
      <family val="2"/>
    </font>
    <font>
      <sz val="9"/>
      <name val="Arial MT"/>
    </font>
    <font>
      <sz val="11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Helvetica Neue"/>
      <family val="2"/>
    </font>
    <font>
      <sz val="11"/>
      <color theme="1"/>
      <name val="Arial"/>
      <family val="2"/>
    </font>
    <font>
      <sz val="11"/>
      <color rgb="FF000000"/>
      <name val="Helvetica Neue"/>
      <family val="2"/>
    </font>
    <font>
      <sz val="11"/>
      <color rgb="FF000000"/>
      <name val="Arial"/>
      <family val="2"/>
    </font>
    <font>
      <sz val="12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54">
    <xf numFmtId="0" fontId="0" fillId="0" borderId="0" xfId="0"/>
    <xf numFmtId="0" fontId="5" fillId="0" borderId="0" xfId="0" applyFont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2" fillId="0" borderId="8" xfId="2" applyFont="1" applyBorder="1" applyAlignment="1">
      <alignment horizontal="center" vertical="center" wrapText="1"/>
    </xf>
    <xf numFmtId="2" fontId="9" fillId="0" borderId="0" xfId="0" applyNumberFormat="1" applyFont="1" applyAlignment="1">
      <alignment horizontal="center" vertical="center"/>
    </xf>
    <xf numFmtId="2" fontId="9" fillId="0" borderId="5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2" fontId="10" fillId="0" borderId="5" xfId="0" applyNumberFormat="1" applyFont="1" applyBorder="1" applyAlignment="1">
      <alignment horizontal="center" vertical="center"/>
    </xf>
    <xf numFmtId="2" fontId="11" fillId="0" borderId="5" xfId="0" applyNumberFormat="1" applyFont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2" fontId="12" fillId="0" borderId="5" xfId="0" applyNumberFormat="1" applyFont="1" applyBorder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2" fontId="13" fillId="0" borderId="5" xfId="0" applyNumberFormat="1" applyFont="1" applyBorder="1" applyAlignment="1">
      <alignment horizontal="center" vertical="center"/>
    </xf>
    <xf numFmtId="2" fontId="2" fillId="0" borderId="5" xfId="2" applyNumberFormat="1" applyFont="1" applyBorder="1" applyAlignment="1">
      <alignment horizontal="center" vertical="center" wrapText="1"/>
    </xf>
    <xf numFmtId="2" fontId="4" fillId="0" borderId="4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/>
    </xf>
    <xf numFmtId="2" fontId="2" fillId="0" borderId="2" xfId="2" applyNumberFormat="1" applyFont="1" applyBorder="1" applyAlignment="1">
      <alignment horizontal="center" vertical="center" wrapText="1"/>
    </xf>
    <xf numFmtId="2" fontId="2" fillId="0" borderId="0" xfId="2" applyNumberFormat="1" applyFont="1" applyAlignment="1">
      <alignment horizontal="center" vertical="center" wrapText="1"/>
    </xf>
    <xf numFmtId="2" fontId="6" fillId="0" borderId="5" xfId="0" applyNumberFormat="1" applyFont="1" applyBorder="1" applyAlignment="1">
      <alignment horizontal="center" vertical="center" wrapText="1"/>
    </xf>
    <xf numFmtId="2" fontId="7" fillId="0" borderId="2" xfId="0" applyNumberFormat="1" applyFont="1" applyBorder="1" applyAlignment="1">
      <alignment horizontal="center" vertical="center"/>
    </xf>
    <xf numFmtId="2" fontId="12" fillId="0" borderId="10" xfId="0" applyNumberFormat="1" applyFont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 wrapText="1"/>
    </xf>
    <xf numFmtId="2" fontId="9" fillId="0" borderId="4" xfId="0" applyNumberFormat="1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14" fillId="0" borderId="9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2" fontId="8" fillId="0" borderId="0" xfId="0" applyNumberFormat="1" applyFont="1" applyAlignment="1">
      <alignment horizontal="center" vertical="center" wrapText="1"/>
    </xf>
    <xf numFmtId="2" fontId="8" fillId="0" borderId="5" xfId="0" applyNumberFormat="1" applyFont="1" applyBorder="1" applyAlignment="1">
      <alignment horizontal="center" vertical="center" wrapText="1"/>
    </xf>
    <xf numFmtId="2" fontId="5" fillId="0" borderId="5" xfId="0" applyNumberFormat="1" applyFont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2" fontId="13" fillId="0" borderId="9" xfId="0" applyNumberFormat="1" applyFont="1" applyBorder="1" applyAlignment="1">
      <alignment horizontal="center" vertical="center"/>
    </xf>
    <xf numFmtId="2" fontId="14" fillId="0" borderId="5" xfId="0" applyNumberFormat="1" applyFont="1" applyBorder="1" applyAlignment="1">
      <alignment horizontal="center" vertical="center"/>
    </xf>
    <xf numFmtId="2" fontId="13" fillId="0" borderId="10" xfId="0" applyNumberFormat="1" applyFont="1" applyBorder="1" applyAlignment="1">
      <alignment horizontal="center" vertical="center"/>
    </xf>
    <xf numFmtId="0" fontId="15" fillId="0" borderId="1" xfId="2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2" fontId="15" fillId="0" borderId="2" xfId="2" applyNumberFormat="1" applyFont="1" applyBorder="1" applyAlignment="1">
      <alignment horizontal="center" vertical="center" wrapText="1"/>
    </xf>
    <xf numFmtId="0" fontId="17" fillId="0" borderId="7" xfId="1" applyFont="1" applyBorder="1" applyAlignment="1">
      <alignment horizontal="center" vertical="center"/>
    </xf>
    <xf numFmtId="2" fontId="17" fillId="0" borderId="0" xfId="0" applyNumberFormat="1" applyFont="1" applyAlignment="1">
      <alignment horizontal="center" vertical="center"/>
    </xf>
    <xf numFmtId="0" fontId="17" fillId="0" borderId="8" xfId="1" applyFont="1" applyBorder="1" applyAlignment="1">
      <alignment horizontal="center" vertical="center"/>
    </xf>
    <xf numFmtId="2" fontId="17" fillId="0" borderId="5" xfId="0" applyNumberFormat="1" applyFont="1" applyBorder="1" applyAlignment="1">
      <alignment horizontal="center" vertical="center"/>
    </xf>
    <xf numFmtId="0" fontId="13" fillId="0" borderId="0" xfId="0" applyFont="1"/>
    <xf numFmtId="2" fontId="16" fillId="0" borderId="2" xfId="0" applyNumberFormat="1" applyFont="1" applyBorder="1" applyAlignment="1">
      <alignment horizontal="center" vertical="center"/>
    </xf>
    <xf numFmtId="2" fontId="18" fillId="0" borderId="2" xfId="0" applyNumberFormat="1" applyFont="1" applyBorder="1" applyAlignment="1">
      <alignment horizontal="center" vertical="center"/>
    </xf>
    <xf numFmtId="2" fontId="16" fillId="0" borderId="3" xfId="0" applyNumberFormat="1" applyFont="1" applyBorder="1" applyAlignment="1">
      <alignment horizontal="center" vertical="center"/>
    </xf>
  </cellXfs>
  <cellStyles count="3">
    <cellStyle name="Normal" xfId="0" builtinId="0"/>
    <cellStyle name="Normal 2" xfId="1" xr:uid="{C2F935C6-2DDA-A344-AB81-F049819C2281}"/>
    <cellStyle name="Normal_A" xfId="2" xr:uid="{C3AE1A37-B8EE-0443-8C85-FCD22E6019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FC855-1A77-E144-BF93-0C6DACFA124A}">
  <dimension ref="A1:X25"/>
  <sheetViews>
    <sheetView tabSelected="1" zoomScale="87" workbookViewId="0">
      <selection activeCell="J31" sqref="J31"/>
    </sheetView>
  </sheetViews>
  <sheetFormatPr baseColWidth="10" defaultRowHeight="16"/>
  <cols>
    <col min="1" max="1" width="10.83203125" style="3"/>
    <col min="2" max="12" width="10.83203125" style="9"/>
    <col min="13" max="13" width="11.6640625" style="9" bestFit="1" customWidth="1"/>
    <col min="14" max="14" width="11.6640625" style="9" customWidth="1"/>
    <col min="15" max="15" width="12.33203125" style="9" customWidth="1"/>
    <col min="16" max="16" width="14" style="9" customWidth="1"/>
    <col min="17" max="18" width="12.6640625" style="9" bestFit="1" customWidth="1"/>
    <col min="19" max="19" width="10.83203125" style="9"/>
    <col min="20" max="22" width="12.6640625" style="9" bestFit="1" customWidth="1"/>
    <col min="23" max="24" width="10.83203125" style="9"/>
    <col min="25" max="16384" width="10.83203125" style="3"/>
  </cols>
  <sheetData>
    <row r="1" spans="1:24" s="1" customFormat="1" ht="30">
      <c r="A1" s="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21" t="s">
        <v>6</v>
      </c>
      <c r="H1" s="17" t="s">
        <v>12</v>
      </c>
      <c r="I1" s="17" t="s">
        <v>7</v>
      </c>
      <c r="J1" s="22" t="s">
        <v>11</v>
      </c>
      <c r="K1" s="23" t="s">
        <v>8</v>
      </c>
      <c r="L1" s="23" t="s">
        <v>9</v>
      </c>
      <c r="M1" s="23" t="s">
        <v>10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17" t="s">
        <v>19</v>
      </c>
      <c r="U1" s="17" t="s">
        <v>20</v>
      </c>
      <c r="V1" s="17" t="s">
        <v>21</v>
      </c>
      <c r="W1" s="14" t="s">
        <v>22</v>
      </c>
      <c r="X1" s="25" t="s">
        <v>23</v>
      </c>
    </row>
    <row r="2" spans="1:24">
      <c r="A2" s="2">
        <v>2000</v>
      </c>
      <c r="B2" s="18">
        <v>2551.4</v>
      </c>
      <c r="C2" s="18">
        <v>2460.9</v>
      </c>
      <c r="D2" s="18">
        <v>1133.4000000000001</v>
      </c>
      <c r="E2" s="18">
        <v>1327.5</v>
      </c>
      <c r="F2" s="18">
        <v>27.6</v>
      </c>
      <c r="G2" s="19">
        <f>(H2*100)/2000</f>
        <v>11.85</v>
      </c>
      <c r="H2" s="18">
        <v>237</v>
      </c>
      <c r="I2" s="18">
        <v>19.100000000000001</v>
      </c>
      <c r="J2" s="26">
        <v>-11.8</v>
      </c>
      <c r="K2" s="27">
        <v>-3</v>
      </c>
      <c r="L2" s="28">
        <v>300</v>
      </c>
      <c r="M2" s="29">
        <v>0</v>
      </c>
      <c r="N2" s="7">
        <v>54.1666666666667</v>
      </c>
      <c r="O2" s="7">
        <v>70.5</v>
      </c>
      <c r="P2" s="7">
        <v>43.6</v>
      </c>
      <c r="Q2" s="10">
        <v>4.16</v>
      </c>
      <c r="R2" s="10">
        <v>0.72</v>
      </c>
      <c r="S2" s="10">
        <v>12.44</v>
      </c>
      <c r="T2" s="13">
        <v>27.358696298645945</v>
      </c>
      <c r="U2" s="13">
        <v>11.746396780396898</v>
      </c>
      <c r="V2" s="13">
        <v>18.933010844352811</v>
      </c>
      <c r="W2" s="15">
        <v>30201</v>
      </c>
      <c r="X2" s="30">
        <v>32.200000000000003</v>
      </c>
    </row>
    <row r="3" spans="1:24">
      <c r="A3" s="4">
        <v>2001</v>
      </c>
      <c r="B3" s="19">
        <v>2407.8000000000002</v>
      </c>
      <c r="C3" s="19">
        <v>2309.9</v>
      </c>
      <c r="D3" s="19">
        <v>1129.3</v>
      </c>
      <c r="E3" s="19">
        <v>1180.5999999999999</v>
      </c>
      <c r="F3" s="19">
        <v>30.7</v>
      </c>
      <c r="G3" s="19">
        <f t="shared" ref="G3:G25" si="0">(H3*100)/2000</f>
        <v>11.55</v>
      </c>
      <c r="H3" s="19">
        <v>231</v>
      </c>
      <c r="I3" s="19">
        <v>20.9</v>
      </c>
      <c r="J3" s="31">
        <v>6.9</v>
      </c>
      <c r="K3" s="7">
        <v>2.6</v>
      </c>
      <c r="L3" s="29">
        <v>316</v>
      </c>
      <c r="M3" s="29">
        <v>1</v>
      </c>
      <c r="N3" s="7">
        <v>54.8333333333333</v>
      </c>
      <c r="O3" s="7">
        <v>71.433333333333294</v>
      </c>
      <c r="P3" s="7">
        <v>44.22</v>
      </c>
      <c r="Q3" s="10">
        <v>5.71</v>
      </c>
      <c r="R3" s="10">
        <v>0.54</v>
      </c>
      <c r="S3" s="10">
        <v>11.57</v>
      </c>
      <c r="T3" s="13">
        <v>30.112505026924698</v>
      </c>
      <c r="U3" s="13">
        <v>11.328971760943983</v>
      </c>
      <c r="V3" s="13">
        <v>20.500044138851013</v>
      </c>
      <c r="W3" s="15">
        <v>31523</v>
      </c>
      <c r="X3" s="30">
        <v>31.5</v>
      </c>
    </row>
    <row r="4" spans="1:24">
      <c r="A4" s="4">
        <v>2002</v>
      </c>
      <c r="B4" s="19">
        <v>2535</v>
      </c>
      <c r="C4" s="19">
        <v>2435.4</v>
      </c>
      <c r="D4" s="19">
        <v>1074.5</v>
      </c>
      <c r="E4" s="19">
        <v>1360.9</v>
      </c>
      <c r="F4" s="19">
        <v>30.6</v>
      </c>
      <c r="G4" s="19">
        <f t="shared" si="0"/>
        <v>11.7</v>
      </c>
      <c r="H4" s="19">
        <v>234</v>
      </c>
      <c r="I4" s="19">
        <v>20</v>
      </c>
      <c r="J4" s="31">
        <v>-6.3</v>
      </c>
      <c r="K4" s="7">
        <v>1.9</v>
      </c>
      <c r="L4" s="29">
        <v>320</v>
      </c>
      <c r="M4" s="29">
        <v>0</v>
      </c>
      <c r="N4" s="7">
        <v>52.3333333333333</v>
      </c>
      <c r="O4" s="7">
        <v>71.5</v>
      </c>
      <c r="P4" s="7">
        <v>46.8</v>
      </c>
      <c r="Q4" s="10">
        <v>3.72</v>
      </c>
      <c r="R4" s="10">
        <v>0.1</v>
      </c>
      <c r="S4" s="10">
        <v>10.73</v>
      </c>
      <c r="T4" s="13">
        <v>29.741077676696992</v>
      </c>
      <c r="U4" s="13">
        <v>11.371588523442966</v>
      </c>
      <c r="V4" s="13">
        <v>19.438612860586268</v>
      </c>
      <c r="W4" s="15">
        <v>31538</v>
      </c>
      <c r="X4" s="30">
        <v>31.8</v>
      </c>
    </row>
    <row r="5" spans="1:24">
      <c r="A5" s="4">
        <v>2003</v>
      </c>
      <c r="B5" s="19">
        <v>2519.1999999999998</v>
      </c>
      <c r="C5" s="19">
        <v>2410.5</v>
      </c>
      <c r="D5" s="19">
        <v>1085.7</v>
      </c>
      <c r="E5" s="19">
        <v>1324.8</v>
      </c>
      <c r="F5" s="19">
        <v>29.05</v>
      </c>
      <c r="G5" s="19">
        <f t="shared" si="0"/>
        <v>10.5</v>
      </c>
      <c r="H5" s="19">
        <v>210</v>
      </c>
      <c r="I5" s="19">
        <v>18.850000000000001</v>
      </c>
      <c r="J5" s="31">
        <v>-8.1</v>
      </c>
      <c r="K5" s="7">
        <v>3.3</v>
      </c>
      <c r="L5" s="29">
        <v>345</v>
      </c>
      <c r="M5" s="29">
        <v>0</v>
      </c>
      <c r="N5" s="7">
        <v>51.3</v>
      </c>
      <c r="O5" s="7">
        <v>72.3333333333333</v>
      </c>
      <c r="P5" s="7">
        <v>47.04</v>
      </c>
      <c r="Q5" s="10">
        <v>6.89</v>
      </c>
      <c r="R5" s="10">
        <v>0.76</v>
      </c>
      <c r="S5" s="10">
        <v>12.47</v>
      </c>
      <c r="T5" s="13">
        <v>27.984625314285164</v>
      </c>
      <c r="U5" s="13">
        <v>10.114924812392228</v>
      </c>
      <c r="V5" s="13">
        <v>18.158698353675572</v>
      </c>
      <c r="W5" s="15">
        <v>29882</v>
      </c>
      <c r="X5" s="30">
        <v>33</v>
      </c>
    </row>
    <row r="6" spans="1:24">
      <c r="A6" s="4">
        <v>2004</v>
      </c>
      <c r="B6" s="19">
        <v>2614.52</v>
      </c>
      <c r="C6" s="19">
        <v>2459.88</v>
      </c>
      <c r="D6" s="19">
        <v>1071.48</v>
      </c>
      <c r="E6" s="19">
        <v>1388.4</v>
      </c>
      <c r="F6" s="19">
        <v>27.4</v>
      </c>
      <c r="G6" s="19">
        <f t="shared" si="0"/>
        <v>12.1</v>
      </c>
      <c r="H6" s="19">
        <v>242</v>
      </c>
      <c r="I6" s="19">
        <v>18.75</v>
      </c>
      <c r="J6" s="31">
        <v>24.7</v>
      </c>
      <c r="K6" s="7">
        <v>2.8</v>
      </c>
      <c r="L6" s="29">
        <v>324</v>
      </c>
      <c r="M6" s="29">
        <v>0</v>
      </c>
      <c r="N6" s="7">
        <v>56.433333333333302</v>
      </c>
      <c r="O6" s="7">
        <v>71.033333333333303</v>
      </c>
      <c r="P6" s="7">
        <v>45.96</v>
      </c>
      <c r="Q6" s="10">
        <v>1.66</v>
      </c>
      <c r="R6" s="10">
        <v>0.21</v>
      </c>
      <c r="S6" s="10">
        <v>11.67</v>
      </c>
      <c r="T6" s="13">
        <v>26.08182458545129</v>
      </c>
      <c r="U6" s="13">
        <v>11.517886039560606</v>
      </c>
      <c r="V6" s="13">
        <v>17.847963904277801</v>
      </c>
      <c r="W6" s="15">
        <v>31774</v>
      </c>
      <c r="X6" s="30">
        <v>31.9</v>
      </c>
    </row>
    <row r="7" spans="1:24">
      <c r="A7" s="4">
        <v>2005</v>
      </c>
      <c r="B7" s="19">
        <v>2369.02</v>
      </c>
      <c r="C7" s="19">
        <v>2290.06</v>
      </c>
      <c r="D7" s="19">
        <v>1003.96</v>
      </c>
      <c r="E7" s="19">
        <v>1286.0999999999999</v>
      </c>
      <c r="F7" s="19">
        <v>35.9</v>
      </c>
      <c r="G7" s="19">
        <f t="shared" si="0"/>
        <v>11.75</v>
      </c>
      <c r="H7" s="19">
        <v>235</v>
      </c>
      <c r="I7" s="19">
        <v>22.35</v>
      </c>
      <c r="J7" s="31">
        <v>-2</v>
      </c>
      <c r="K7" s="7">
        <v>3.7</v>
      </c>
      <c r="L7" s="29">
        <v>351</v>
      </c>
      <c r="M7" s="29">
        <v>0</v>
      </c>
      <c r="N7" s="7">
        <v>51.6666666666667</v>
      </c>
      <c r="O7" s="7">
        <v>71.066666666666706</v>
      </c>
      <c r="P7" s="7">
        <v>44.98</v>
      </c>
      <c r="Q7" s="10">
        <v>8.17</v>
      </c>
      <c r="R7" s="10">
        <v>0.41</v>
      </c>
      <c r="S7" s="10">
        <v>20.66</v>
      </c>
      <c r="T7" s="13">
        <v>33.857064715091383</v>
      </c>
      <c r="U7" s="13">
        <v>11.081351264688685</v>
      </c>
      <c r="V7" s="13">
        <v>21.078144746024861</v>
      </c>
      <c r="W7" s="15">
        <v>31892</v>
      </c>
      <c r="X7" s="30">
        <v>34.799999999999997</v>
      </c>
    </row>
    <row r="8" spans="1:24">
      <c r="A8" s="4">
        <v>2006</v>
      </c>
      <c r="B8" s="19">
        <v>2020.56</v>
      </c>
      <c r="C8" s="19">
        <v>1974.42</v>
      </c>
      <c r="D8" s="19">
        <v>963.16</v>
      </c>
      <c r="E8" s="19">
        <v>1011.26</v>
      </c>
      <c r="F8" s="19">
        <v>38.950000000000003</v>
      </c>
      <c r="G8" s="19">
        <f t="shared" si="0"/>
        <v>13.65</v>
      </c>
      <c r="H8" s="19">
        <v>273</v>
      </c>
      <c r="I8" s="19">
        <v>26</v>
      </c>
      <c r="J8" s="31">
        <v>8</v>
      </c>
      <c r="K8" s="7">
        <v>6</v>
      </c>
      <c r="L8" s="29">
        <v>366</v>
      </c>
      <c r="M8" s="29">
        <v>0</v>
      </c>
      <c r="N8" s="7">
        <v>50.266666666666701</v>
      </c>
      <c r="O8" s="7">
        <v>72.6666666666667</v>
      </c>
      <c r="P8" s="7">
        <v>47.38</v>
      </c>
      <c r="Q8" s="10">
        <v>12.28</v>
      </c>
      <c r="R8" s="10">
        <v>0.3</v>
      </c>
      <c r="S8" s="10">
        <v>13.49</v>
      </c>
      <c r="T8" s="13">
        <v>36.363127135575184</v>
      </c>
      <c r="U8" s="13">
        <v>12.743432231080904</v>
      </c>
      <c r="V8" s="13">
        <v>24.273204249677914</v>
      </c>
      <c r="W8" s="15">
        <v>37149</v>
      </c>
      <c r="X8" s="30">
        <v>29.8</v>
      </c>
    </row>
    <row r="9" spans="1:24">
      <c r="A9" s="4">
        <v>2007</v>
      </c>
      <c r="B9" s="19">
        <v>2254.3000000000002</v>
      </c>
      <c r="C9" s="19">
        <v>2231.79</v>
      </c>
      <c r="D9" s="19">
        <v>882.37</v>
      </c>
      <c r="E9" s="19">
        <v>1349.42</v>
      </c>
      <c r="F9" s="19">
        <v>35.299999999999997</v>
      </c>
      <c r="G9" s="19">
        <f t="shared" si="0"/>
        <v>14.15</v>
      </c>
      <c r="H9" s="19">
        <v>283</v>
      </c>
      <c r="I9" s="19">
        <v>22.5</v>
      </c>
      <c r="J9" s="31">
        <v>11.2</v>
      </c>
      <c r="K9" s="7">
        <v>4.5</v>
      </c>
      <c r="L9" s="29">
        <v>352</v>
      </c>
      <c r="M9" s="29">
        <v>0</v>
      </c>
      <c r="N9" s="7">
        <v>55.266666666666701</v>
      </c>
      <c r="O9" s="7">
        <v>71.8</v>
      </c>
      <c r="P9" s="7">
        <v>45.02</v>
      </c>
      <c r="Q9" s="10">
        <v>1.92</v>
      </c>
      <c r="R9" s="10">
        <v>0.35</v>
      </c>
      <c r="S9" s="10">
        <v>7.49</v>
      </c>
      <c r="T9" s="13">
        <v>32.616931236486607</v>
      </c>
      <c r="U9" s="13">
        <v>13.074492266183727</v>
      </c>
      <c r="V9" s="13">
        <v>20.789828691811579</v>
      </c>
      <c r="W9" s="15">
        <v>50791</v>
      </c>
      <c r="X9" s="30">
        <v>28.1</v>
      </c>
    </row>
    <row r="10" spans="1:24">
      <c r="A10" s="4">
        <v>2008</v>
      </c>
      <c r="B10" s="19">
        <v>2269.9</v>
      </c>
      <c r="C10" s="19">
        <v>2226.4</v>
      </c>
      <c r="D10" s="19">
        <v>1059.5999999999999</v>
      </c>
      <c r="E10" s="19">
        <v>1167.4000000000001</v>
      </c>
      <c r="F10" s="19">
        <v>34.200000000000003</v>
      </c>
      <c r="G10" s="19">
        <f t="shared" si="0"/>
        <v>15.75</v>
      </c>
      <c r="H10" s="19">
        <v>315</v>
      </c>
      <c r="I10" s="19">
        <v>24.5</v>
      </c>
      <c r="J10" s="31">
        <v>-0.4</v>
      </c>
      <c r="K10" s="7">
        <v>4.8</v>
      </c>
      <c r="L10" s="29">
        <v>394</v>
      </c>
      <c r="M10" s="29">
        <v>1</v>
      </c>
      <c r="N10" s="7">
        <v>52.566666666666698</v>
      </c>
      <c r="O10" s="7">
        <v>72.533333333333303</v>
      </c>
      <c r="P10" s="7">
        <v>45.18</v>
      </c>
      <c r="Q10" s="10">
        <v>1.05</v>
      </c>
      <c r="R10" s="10">
        <v>0.2</v>
      </c>
      <c r="S10" s="10">
        <v>13.29</v>
      </c>
      <c r="T10" s="13">
        <v>31.312372965153546</v>
      </c>
      <c r="U10" s="13">
        <v>14.420171760268079</v>
      </c>
      <c r="V10" s="13">
        <v>22.431378293750345</v>
      </c>
      <c r="W10" s="15">
        <v>64404</v>
      </c>
      <c r="X10" s="30">
        <v>29.2</v>
      </c>
    </row>
    <row r="11" spans="1:24">
      <c r="A11" s="4">
        <v>2009</v>
      </c>
      <c r="B11" s="19">
        <v>2207</v>
      </c>
      <c r="C11" s="19">
        <v>2164.8000000000002</v>
      </c>
      <c r="D11" s="19">
        <v>1005.84</v>
      </c>
      <c r="E11" s="19">
        <v>1159.3800000000001</v>
      </c>
      <c r="F11" s="19">
        <v>40.549999999999997</v>
      </c>
      <c r="G11" s="19">
        <f t="shared" si="0"/>
        <v>16.05</v>
      </c>
      <c r="H11" s="19">
        <v>321</v>
      </c>
      <c r="I11" s="19">
        <v>27.4</v>
      </c>
      <c r="J11" s="31">
        <v>-10.199999999999999</v>
      </c>
      <c r="K11" s="7">
        <v>-6.1</v>
      </c>
      <c r="L11" s="29">
        <v>396</v>
      </c>
      <c r="M11" s="29">
        <v>1</v>
      </c>
      <c r="N11" s="7">
        <v>53.8333333333333</v>
      </c>
      <c r="O11" s="7">
        <v>70.566666666666706</v>
      </c>
      <c r="P11" s="7">
        <v>46.7</v>
      </c>
      <c r="Q11" s="10">
        <v>2.77</v>
      </c>
      <c r="R11" s="10">
        <v>0.67</v>
      </c>
      <c r="S11" s="10">
        <v>11.1</v>
      </c>
      <c r="T11" s="13">
        <v>36.823465310570285</v>
      </c>
      <c r="U11" s="13">
        <v>14.575009081002545</v>
      </c>
      <c r="V11" s="13">
        <v>24.881946966945151</v>
      </c>
      <c r="W11" s="15">
        <v>60112</v>
      </c>
      <c r="X11" s="30">
        <v>29.8</v>
      </c>
    </row>
    <row r="12" spans="1:24">
      <c r="A12" s="4">
        <v>2010</v>
      </c>
      <c r="B12" s="19">
        <v>2298.86</v>
      </c>
      <c r="C12" s="19">
        <v>2259.54</v>
      </c>
      <c r="D12" s="19">
        <v>1132.8</v>
      </c>
      <c r="E12" s="19">
        <v>1126.74</v>
      </c>
      <c r="F12" s="19">
        <v>39.4</v>
      </c>
      <c r="G12" s="19">
        <f t="shared" si="0"/>
        <v>15.2</v>
      </c>
      <c r="H12" s="19">
        <v>304</v>
      </c>
      <c r="I12" s="19">
        <v>27.35</v>
      </c>
      <c r="J12" s="31">
        <v>12.1</v>
      </c>
      <c r="K12" s="7">
        <v>-0.6</v>
      </c>
      <c r="L12" s="29">
        <v>400</v>
      </c>
      <c r="M12" s="29">
        <v>0</v>
      </c>
      <c r="N12" s="7">
        <v>48.533333333333303</v>
      </c>
      <c r="O12" s="7">
        <v>70.3333333333333</v>
      </c>
      <c r="P12" s="7">
        <v>45.26</v>
      </c>
      <c r="Q12" s="10">
        <v>6.02</v>
      </c>
      <c r="R12" s="10">
        <v>0.08</v>
      </c>
      <c r="S12" s="10">
        <v>15.75</v>
      </c>
      <c r="T12" s="13">
        <v>35.41859566167151</v>
      </c>
      <c r="U12" s="13">
        <v>13.664026752726064</v>
      </c>
      <c r="V12" s="13">
        <v>24.586258663622228</v>
      </c>
      <c r="W12" s="15">
        <v>55921</v>
      </c>
      <c r="X12" s="30">
        <v>34.799999999999997</v>
      </c>
    </row>
    <row r="13" spans="1:24">
      <c r="A13" s="4">
        <v>2011</v>
      </c>
      <c r="B13" s="19">
        <v>2142.54</v>
      </c>
      <c r="C13" s="19">
        <v>2084.6799999999998</v>
      </c>
      <c r="D13" s="19">
        <v>1062.0999999999999</v>
      </c>
      <c r="E13" s="19">
        <v>1022.58</v>
      </c>
      <c r="F13" s="19">
        <v>41.25</v>
      </c>
      <c r="G13" s="19">
        <f t="shared" si="0"/>
        <v>14.6</v>
      </c>
      <c r="H13" s="19">
        <v>292</v>
      </c>
      <c r="I13" s="19">
        <v>28.15</v>
      </c>
      <c r="J13" s="32">
        <v>-4.9000000000000004</v>
      </c>
      <c r="K13" s="7">
        <v>3.3</v>
      </c>
      <c r="L13" s="29">
        <v>419</v>
      </c>
      <c r="M13" s="29">
        <v>0</v>
      </c>
      <c r="N13" s="7">
        <v>49.766666666666701</v>
      </c>
      <c r="O13" s="7">
        <v>69.1666666666667</v>
      </c>
      <c r="P13" s="7">
        <v>45.6</v>
      </c>
      <c r="Q13" s="10">
        <v>8.56</v>
      </c>
      <c r="R13" s="10">
        <v>1.21</v>
      </c>
      <c r="S13" s="10">
        <v>19.920000000000002</v>
      </c>
      <c r="T13" s="13">
        <v>36.767327438676567</v>
      </c>
      <c r="U13" s="13">
        <v>13.013405590416433</v>
      </c>
      <c r="V13" s="13">
        <v>25.090915573302915</v>
      </c>
      <c r="W13" s="15">
        <v>55384</v>
      </c>
      <c r="X13" s="30">
        <v>26.5</v>
      </c>
    </row>
    <row r="14" spans="1:24">
      <c r="A14" s="4">
        <v>2012</v>
      </c>
      <c r="B14" s="19">
        <v>1936.14</v>
      </c>
      <c r="C14" s="19">
        <v>1911.78</v>
      </c>
      <c r="D14" s="19">
        <v>961.5</v>
      </c>
      <c r="E14" s="19">
        <v>950.28</v>
      </c>
      <c r="F14" s="19">
        <v>48.35</v>
      </c>
      <c r="G14" s="19">
        <f t="shared" si="0"/>
        <v>16.149999999999999</v>
      </c>
      <c r="H14" s="19">
        <v>323</v>
      </c>
      <c r="I14" s="19">
        <v>32.35</v>
      </c>
      <c r="J14" s="32">
        <v>1.1000000000000001</v>
      </c>
      <c r="K14" s="7">
        <v>1</v>
      </c>
      <c r="L14" s="29">
        <v>426</v>
      </c>
      <c r="M14" s="29">
        <v>0</v>
      </c>
      <c r="N14" s="7">
        <v>53.133333333333297</v>
      </c>
      <c r="O14" s="7">
        <v>71.6666666666667</v>
      </c>
      <c r="P14" s="7">
        <v>46.06</v>
      </c>
      <c r="Q14" s="10">
        <v>5.91</v>
      </c>
      <c r="R14" s="10">
        <v>0.34</v>
      </c>
      <c r="S14" s="10">
        <v>5.66</v>
      </c>
      <c r="T14" s="13">
        <v>42.710882220435863</v>
      </c>
      <c r="U14" s="13">
        <v>14.266406367322423</v>
      </c>
      <c r="V14" s="13">
        <v>28.576981175410552</v>
      </c>
      <c r="W14" s="15">
        <v>65345</v>
      </c>
      <c r="X14" s="30">
        <v>31.6</v>
      </c>
    </row>
    <row r="15" spans="1:24">
      <c r="A15" s="4">
        <v>2013</v>
      </c>
      <c r="B15" s="19">
        <v>1810.742</v>
      </c>
      <c r="C15" s="19">
        <v>1780.3620000000001</v>
      </c>
      <c r="D15" s="19">
        <v>796.94</v>
      </c>
      <c r="E15" s="19">
        <v>983.42200000000003</v>
      </c>
      <c r="F15" s="19">
        <v>47.9</v>
      </c>
      <c r="G15" s="19">
        <f t="shared" si="0"/>
        <v>17.149999999999999</v>
      </c>
      <c r="H15" s="19">
        <v>343</v>
      </c>
      <c r="I15" s="19">
        <v>30.9</v>
      </c>
      <c r="J15" s="32">
        <v>1.8</v>
      </c>
      <c r="K15" s="7">
        <v>2</v>
      </c>
      <c r="L15" s="29">
        <v>428</v>
      </c>
      <c r="M15" s="29">
        <v>1</v>
      </c>
      <c r="N15" s="7">
        <v>55.866666666666703</v>
      </c>
      <c r="O15" s="7">
        <v>72.766666666666694</v>
      </c>
      <c r="P15" s="7">
        <v>45.94</v>
      </c>
      <c r="Q15" s="10">
        <v>1.62</v>
      </c>
      <c r="R15" s="10">
        <v>0.42</v>
      </c>
      <c r="S15" s="10">
        <v>8.75</v>
      </c>
      <c r="T15" s="13">
        <v>41.936246399523739</v>
      </c>
      <c r="U15" s="13">
        <v>15.014752103378541</v>
      </c>
      <c r="V15" s="13">
        <v>27.052818658565418</v>
      </c>
      <c r="W15" s="15">
        <v>74192</v>
      </c>
      <c r="X15" s="30">
        <v>28.6</v>
      </c>
    </row>
    <row r="16" spans="1:24">
      <c r="A16" s="4">
        <v>2014</v>
      </c>
      <c r="B16" s="19">
        <v>1705.598</v>
      </c>
      <c r="C16" s="19">
        <v>1675.8140000000001</v>
      </c>
      <c r="D16" s="19">
        <v>786.4</v>
      </c>
      <c r="E16" s="19">
        <v>889.41399999999999</v>
      </c>
      <c r="F16" s="19">
        <v>59.5</v>
      </c>
      <c r="G16" s="19">
        <f t="shared" si="0"/>
        <v>18.2</v>
      </c>
      <c r="H16" s="19">
        <v>364</v>
      </c>
      <c r="I16" s="19">
        <v>37.5</v>
      </c>
      <c r="J16" s="32">
        <v>2.7</v>
      </c>
      <c r="K16" s="7">
        <v>4.8</v>
      </c>
      <c r="L16" s="29">
        <v>421</v>
      </c>
      <c r="M16" s="29">
        <v>0</v>
      </c>
      <c r="N16" s="7">
        <v>56.066666666666698</v>
      </c>
      <c r="O16" s="7">
        <v>73</v>
      </c>
      <c r="P16" s="7">
        <v>48.34</v>
      </c>
      <c r="Q16" s="10">
        <v>3.57</v>
      </c>
      <c r="R16" s="10">
        <v>0.46</v>
      </c>
      <c r="S16" s="10">
        <v>4.46</v>
      </c>
      <c r="T16" s="13">
        <v>51.627793974732761</v>
      </c>
      <c r="U16" s="13">
        <v>15.792031098153551</v>
      </c>
      <c r="V16" s="13">
        <v>32.538525614327369</v>
      </c>
      <c r="W16" s="15">
        <v>89274</v>
      </c>
      <c r="X16" s="30">
        <v>35.5</v>
      </c>
    </row>
    <row r="17" spans="1:24">
      <c r="A17" s="4">
        <v>2015</v>
      </c>
      <c r="B17" s="19">
        <v>1689.56</v>
      </c>
      <c r="C17" s="19">
        <v>1646.01</v>
      </c>
      <c r="D17" s="19">
        <v>710.67</v>
      </c>
      <c r="E17" s="19">
        <v>935.34</v>
      </c>
      <c r="F17" s="19">
        <v>55.000000000000007</v>
      </c>
      <c r="G17" s="19">
        <f t="shared" si="0"/>
        <v>22.55</v>
      </c>
      <c r="H17" s="19">
        <v>451</v>
      </c>
      <c r="I17" s="19">
        <v>36.6</v>
      </c>
      <c r="J17" s="32">
        <v>-0.2</v>
      </c>
      <c r="K17" s="7">
        <v>-2.2000000000000002</v>
      </c>
      <c r="L17" s="29">
        <v>445</v>
      </c>
      <c r="M17" s="29">
        <v>0</v>
      </c>
      <c r="N17" s="7">
        <v>55.266666666666701</v>
      </c>
      <c r="O17" s="7">
        <v>72.5</v>
      </c>
      <c r="P17" s="7">
        <v>50.14</v>
      </c>
      <c r="Q17" s="10">
        <v>2.31</v>
      </c>
      <c r="R17" s="10">
        <v>0.76</v>
      </c>
      <c r="S17" s="10">
        <v>6.97</v>
      </c>
      <c r="T17" s="13">
        <v>47.313455946871301</v>
      </c>
      <c r="U17" s="13">
        <v>19.398516938217231</v>
      </c>
      <c r="V17" s="13">
        <v>31.4849543210089</v>
      </c>
      <c r="W17" s="15">
        <v>108144</v>
      </c>
      <c r="X17" s="30">
        <v>29</v>
      </c>
    </row>
    <row r="18" spans="1:24">
      <c r="A18" s="4">
        <v>2016</v>
      </c>
      <c r="B18" s="19">
        <v>1583.88</v>
      </c>
      <c r="C18" s="19">
        <v>1550.46</v>
      </c>
      <c r="D18" s="19">
        <v>666.7</v>
      </c>
      <c r="E18" s="19">
        <v>883.8</v>
      </c>
      <c r="F18" s="19">
        <v>61</v>
      </c>
      <c r="G18" s="19">
        <f t="shared" si="0"/>
        <v>24.45</v>
      </c>
      <c r="H18" s="19">
        <v>489</v>
      </c>
      <c r="I18" s="19">
        <v>40.15</v>
      </c>
      <c r="J18" s="32">
        <v>11.7</v>
      </c>
      <c r="K18" s="7">
        <v>2.2000000000000002</v>
      </c>
      <c r="L18" s="29">
        <v>508</v>
      </c>
      <c r="M18" s="29">
        <v>0</v>
      </c>
      <c r="N18" s="7">
        <v>54.4</v>
      </c>
      <c r="O18" s="7">
        <v>73.099999999999994</v>
      </c>
      <c r="P18" s="7">
        <v>46.98</v>
      </c>
      <c r="Q18" s="10">
        <v>5.92</v>
      </c>
      <c r="R18" s="10">
        <v>0.27</v>
      </c>
      <c r="S18" s="10">
        <v>13.59</v>
      </c>
      <c r="T18" s="13">
        <v>51.975494832272524</v>
      </c>
      <c r="U18" s="13">
        <v>20.832800797525628</v>
      </c>
      <c r="V18" s="13">
        <v>34.210100287143312</v>
      </c>
      <c r="W18" s="15">
        <v>134368</v>
      </c>
      <c r="X18" s="30">
        <v>31</v>
      </c>
    </row>
    <row r="19" spans="1:24">
      <c r="A19" s="4">
        <v>2017</v>
      </c>
      <c r="B19" s="19">
        <v>1401.54</v>
      </c>
      <c r="C19" s="19">
        <v>1388.44</v>
      </c>
      <c r="D19" s="19">
        <v>629.20000000000005</v>
      </c>
      <c r="E19" s="19">
        <v>759.2</v>
      </c>
      <c r="F19" s="19">
        <v>67.5</v>
      </c>
      <c r="G19" s="19">
        <f t="shared" si="0"/>
        <v>23</v>
      </c>
      <c r="H19" s="19">
        <v>460</v>
      </c>
      <c r="I19" s="19">
        <v>43.2</v>
      </c>
      <c r="J19" s="32">
        <v>6.6</v>
      </c>
      <c r="K19" s="7">
        <v>0.5</v>
      </c>
      <c r="L19" s="29">
        <v>517</v>
      </c>
      <c r="M19" s="29">
        <v>0</v>
      </c>
      <c r="N19" s="7">
        <v>53.766666666666701</v>
      </c>
      <c r="O19" s="7">
        <v>74.066666666666706</v>
      </c>
      <c r="P19" s="7">
        <v>46.48</v>
      </c>
      <c r="Q19" s="10">
        <v>5.19</v>
      </c>
      <c r="R19" s="10">
        <v>0.33</v>
      </c>
      <c r="S19" s="10">
        <v>26.18</v>
      </c>
      <c r="T19" s="13">
        <v>56.996174923371811</v>
      </c>
      <c r="U19" s="13">
        <v>19.420918862778542</v>
      </c>
      <c r="V19" s="13">
        <v>36.47755195095796</v>
      </c>
      <c r="W19" s="15">
        <v>161583</v>
      </c>
      <c r="X19" s="30">
        <v>31.2</v>
      </c>
    </row>
    <row r="20" spans="1:24">
      <c r="A20" s="4">
        <v>2018</v>
      </c>
      <c r="B20" s="19">
        <v>1318.9</v>
      </c>
      <c r="C20" s="19">
        <v>1291.58</v>
      </c>
      <c r="D20" s="19">
        <v>582.79999999999995</v>
      </c>
      <c r="E20" s="19">
        <v>708.8</v>
      </c>
      <c r="F20" s="19">
        <v>61.5</v>
      </c>
      <c r="G20" s="19">
        <f t="shared" si="0"/>
        <v>22.7</v>
      </c>
      <c r="H20" s="19">
        <v>454</v>
      </c>
      <c r="I20" s="19">
        <v>40.25</v>
      </c>
      <c r="J20" s="32">
        <v>-1.9</v>
      </c>
      <c r="K20" s="7">
        <v>1</v>
      </c>
      <c r="L20" s="29">
        <v>552</v>
      </c>
      <c r="M20" s="29">
        <v>0</v>
      </c>
      <c r="N20" s="7">
        <v>53.033333333333303</v>
      </c>
      <c r="O20" s="7">
        <v>73.266666666666694</v>
      </c>
      <c r="P20" s="7">
        <v>48.62</v>
      </c>
      <c r="Q20" s="10">
        <v>8.98</v>
      </c>
      <c r="R20" s="10">
        <v>0.25</v>
      </c>
      <c r="S20" s="10">
        <v>4.2699999999999996</v>
      </c>
      <c r="T20" s="13">
        <v>51.503224185579107</v>
      </c>
      <c r="U20" s="13">
        <v>19.010133154677167</v>
      </c>
      <c r="V20" s="13">
        <v>33.707394690561934</v>
      </c>
      <c r="W20" s="15">
        <v>196409</v>
      </c>
      <c r="X20" s="30">
        <v>33.299999999999997</v>
      </c>
    </row>
    <row r="21" spans="1:24">
      <c r="A21" s="4">
        <v>2019</v>
      </c>
      <c r="B21" s="19">
        <v>1372.9</v>
      </c>
      <c r="C21" s="19">
        <v>1330.84</v>
      </c>
      <c r="D21" s="19">
        <v>579.20000000000005</v>
      </c>
      <c r="E21" s="19">
        <v>751.6</v>
      </c>
      <c r="F21" s="19">
        <v>63.5</v>
      </c>
      <c r="G21" s="19">
        <f t="shared" si="0"/>
        <v>22.6</v>
      </c>
      <c r="H21" s="19">
        <v>452</v>
      </c>
      <c r="I21" s="19">
        <v>40.35</v>
      </c>
      <c r="J21" s="32">
        <v>-6.1</v>
      </c>
      <c r="K21" s="7">
        <v>-1.4</v>
      </c>
      <c r="L21" s="29">
        <v>558</v>
      </c>
      <c r="M21" s="29">
        <v>1</v>
      </c>
      <c r="N21" s="7">
        <v>51.966666666666697</v>
      </c>
      <c r="O21" s="7">
        <v>72.066666666666706</v>
      </c>
      <c r="P21" s="7">
        <v>46.6</v>
      </c>
      <c r="Q21" s="10">
        <v>8.1</v>
      </c>
      <c r="R21" s="10">
        <v>0.15</v>
      </c>
      <c r="S21" s="10">
        <v>16.190000000000001</v>
      </c>
      <c r="T21" s="13">
        <v>52.763213653624049</v>
      </c>
      <c r="U21" s="13">
        <v>18.778718560187457</v>
      </c>
      <c r="V21" s="13">
        <v>33.527490880688667</v>
      </c>
      <c r="W21" s="15">
        <v>204801</v>
      </c>
      <c r="X21" s="30">
        <v>33.799999999999997</v>
      </c>
    </row>
    <row r="22" spans="1:24">
      <c r="A22" s="4">
        <v>2020</v>
      </c>
      <c r="B22" s="19">
        <v>1321.14</v>
      </c>
      <c r="C22" s="19">
        <v>1292.52</v>
      </c>
      <c r="D22" s="19">
        <v>642.29999999999995</v>
      </c>
      <c r="E22" s="19">
        <v>650.20000000000005</v>
      </c>
      <c r="F22" s="19">
        <v>69</v>
      </c>
      <c r="G22" s="19">
        <f t="shared" si="0"/>
        <v>22.6</v>
      </c>
      <c r="H22" s="19">
        <v>452</v>
      </c>
      <c r="I22" s="19">
        <v>45.75</v>
      </c>
      <c r="J22" s="31">
        <v>2</v>
      </c>
      <c r="K22" s="7">
        <v>-0.8</v>
      </c>
      <c r="L22" s="29">
        <v>574</v>
      </c>
      <c r="M22" s="29">
        <v>0</v>
      </c>
      <c r="N22" s="7">
        <v>53.233333333333299</v>
      </c>
      <c r="O22" s="7">
        <v>72.766666666666694</v>
      </c>
      <c r="P22" s="7">
        <v>47.52</v>
      </c>
      <c r="Q22" s="10">
        <v>6.68</v>
      </c>
      <c r="R22" s="10">
        <v>0.06</v>
      </c>
      <c r="S22" s="10">
        <v>6.63</v>
      </c>
      <c r="T22" s="13">
        <v>56.851420049600812</v>
      </c>
      <c r="U22" s="13">
        <v>18.620899900304035</v>
      </c>
      <c r="V22" s="13">
        <v>37.694963293757056</v>
      </c>
      <c r="W22" s="15">
        <v>213394</v>
      </c>
      <c r="X22" s="30">
        <v>31.3</v>
      </c>
    </row>
    <row r="23" spans="1:24">
      <c r="A23" s="4">
        <v>2021</v>
      </c>
      <c r="B23" s="19">
        <v>1403.42</v>
      </c>
      <c r="C23" s="19">
        <v>1348.12</v>
      </c>
      <c r="D23" s="19">
        <v>695.2</v>
      </c>
      <c r="E23" s="19">
        <v>652.9</v>
      </c>
      <c r="F23" s="19">
        <v>68.5</v>
      </c>
      <c r="G23" s="19">
        <f t="shared" si="0"/>
        <v>24.35</v>
      </c>
      <c r="H23" s="19">
        <v>487</v>
      </c>
      <c r="I23" s="19">
        <v>47</v>
      </c>
      <c r="J23" s="31">
        <v>5.3</v>
      </c>
      <c r="K23" s="7">
        <v>5.5</v>
      </c>
      <c r="L23" s="29">
        <v>613</v>
      </c>
      <c r="M23" s="29">
        <v>0</v>
      </c>
      <c r="N23" s="7">
        <v>54.3</v>
      </c>
      <c r="O23" s="7">
        <v>75.266666666666694</v>
      </c>
      <c r="P23" s="7">
        <v>48.26</v>
      </c>
      <c r="Q23" s="10">
        <v>2.23</v>
      </c>
      <c r="R23" s="10">
        <v>0.12</v>
      </c>
      <c r="S23" s="10">
        <v>6.45</v>
      </c>
      <c r="T23" s="13">
        <v>55.95399519694174</v>
      </c>
      <c r="U23" s="13">
        <v>19.890215810883671</v>
      </c>
      <c r="V23" s="13">
        <v>38.391792324908927</v>
      </c>
      <c r="W23" s="15">
        <v>257898</v>
      </c>
      <c r="X23" s="30">
        <v>32</v>
      </c>
    </row>
    <row r="24" spans="1:24">
      <c r="A24" s="4">
        <v>2022</v>
      </c>
      <c r="B24" s="19">
        <v>1296.06</v>
      </c>
      <c r="C24" s="19">
        <v>1265.3</v>
      </c>
      <c r="D24" s="19">
        <v>693.7</v>
      </c>
      <c r="E24" s="19">
        <v>571.6</v>
      </c>
      <c r="F24" s="19">
        <v>74</v>
      </c>
      <c r="G24" s="19">
        <f t="shared" si="0"/>
        <v>28.2</v>
      </c>
      <c r="H24" s="19">
        <v>564</v>
      </c>
      <c r="I24" s="19">
        <v>53.5</v>
      </c>
      <c r="J24" s="32">
        <v>18.100000000000001</v>
      </c>
      <c r="K24" s="7">
        <v>7.9</v>
      </c>
      <c r="L24" s="29">
        <v>634</v>
      </c>
      <c r="M24" s="29">
        <v>1</v>
      </c>
      <c r="N24" s="7">
        <v>53.933333333333302</v>
      </c>
      <c r="O24" s="7">
        <v>73.599999999999994</v>
      </c>
      <c r="P24" s="7">
        <v>46.82</v>
      </c>
      <c r="Q24" s="10">
        <v>2.4700000000000002</v>
      </c>
      <c r="R24" s="10">
        <v>0.49</v>
      </c>
      <c r="S24" s="10">
        <v>10.19</v>
      </c>
      <c r="T24" s="13">
        <v>59.869097028389291</v>
      </c>
      <c r="U24" s="13">
        <v>22.814980218926731</v>
      </c>
      <c r="V24" s="13">
        <v>43.28373906782199</v>
      </c>
      <c r="W24" s="15">
        <v>298336</v>
      </c>
      <c r="X24" s="30">
        <v>33.1</v>
      </c>
    </row>
    <row r="25" spans="1:24">
      <c r="A25" s="5">
        <v>2023</v>
      </c>
      <c r="B25" s="20">
        <v>1177.08</v>
      </c>
      <c r="C25" s="20">
        <v>1155.3800000000001</v>
      </c>
      <c r="D25" s="20">
        <v>564.6</v>
      </c>
      <c r="E25" s="20">
        <v>590.79999999999995</v>
      </c>
      <c r="F25" s="20">
        <v>84.5</v>
      </c>
      <c r="G25" s="20">
        <f t="shared" si="0"/>
        <v>30.3</v>
      </c>
      <c r="H25" s="20">
        <v>606</v>
      </c>
      <c r="I25" s="20">
        <v>57</v>
      </c>
      <c r="J25" s="33">
        <v>-0.6</v>
      </c>
      <c r="K25" s="8">
        <v>0.7</v>
      </c>
      <c r="L25" s="34">
        <v>662</v>
      </c>
      <c r="M25" s="34">
        <v>1</v>
      </c>
      <c r="N25" s="8">
        <v>50.933333333333302</v>
      </c>
      <c r="O25" s="8">
        <v>70.8</v>
      </c>
      <c r="P25" s="8">
        <v>45.06</v>
      </c>
      <c r="Q25" s="11">
        <v>9.06</v>
      </c>
      <c r="R25" s="11">
        <v>0.98</v>
      </c>
      <c r="S25" s="11">
        <v>24.71</v>
      </c>
      <c r="T25" s="12">
        <v>67.818647318956323</v>
      </c>
      <c r="U25" s="12">
        <v>24.318402529755939</v>
      </c>
      <c r="V25" s="12">
        <v>45.747489907461663</v>
      </c>
      <c r="W25" s="16">
        <v>310676</v>
      </c>
      <c r="X25" s="35">
        <v>35.5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6BAA1-C5AB-5845-A061-D51DE408D88F}">
  <sheetPr>
    <pageSetUpPr fitToPage="1"/>
  </sheetPr>
  <dimension ref="A1:I27"/>
  <sheetViews>
    <sheetView workbookViewId="0">
      <selection activeCell="D1" sqref="D1"/>
    </sheetView>
  </sheetViews>
  <sheetFormatPr baseColWidth="10" defaultRowHeight="16"/>
  <cols>
    <col min="1" max="8" width="16.83203125" customWidth="1"/>
  </cols>
  <sheetData>
    <row r="1" spans="1:9" ht="102">
      <c r="A1" s="41" t="s">
        <v>31</v>
      </c>
      <c r="B1" s="42" t="s">
        <v>24</v>
      </c>
      <c r="C1" s="43" t="s">
        <v>25</v>
      </c>
      <c r="D1" s="43" t="s">
        <v>26</v>
      </c>
      <c r="E1" s="43" t="s">
        <v>27</v>
      </c>
      <c r="F1" s="43" t="s">
        <v>28</v>
      </c>
      <c r="G1" s="42" t="s">
        <v>29</v>
      </c>
      <c r="H1" s="44" t="s">
        <v>30</v>
      </c>
    </row>
    <row r="2" spans="1:9" ht="17">
      <c r="A2" s="41" t="s">
        <v>0</v>
      </c>
      <c r="B2" s="45" t="s">
        <v>3</v>
      </c>
      <c r="C2" s="51" t="s">
        <v>23</v>
      </c>
      <c r="D2" s="52" t="s">
        <v>16</v>
      </c>
      <c r="E2" s="52" t="s">
        <v>13</v>
      </c>
      <c r="F2" s="52" t="s">
        <v>14</v>
      </c>
      <c r="G2" s="45" t="s">
        <v>19</v>
      </c>
      <c r="H2" s="53" t="s">
        <v>22</v>
      </c>
      <c r="I2" s="36"/>
    </row>
    <row r="3" spans="1:9">
      <c r="A3" s="46">
        <v>2000</v>
      </c>
      <c r="B3" s="47">
        <v>1133.4000000000001</v>
      </c>
      <c r="C3" s="37">
        <v>32.200000000000003</v>
      </c>
      <c r="D3" s="37">
        <v>4.16</v>
      </c>
      <c r="E3" s="37">
        <v>54.1666666666667</v>
      </c>
      <c r="F3" s="37">
        <v>70.5</v>
      </c>
      <c r="G3" s="37">
        <v>27.358696298645945</v>
      </c>
      <c r="H3" s="38">
        <v>30201</v>
      </c>
      <c r="I3" s="37"/>
    </row>
    <row r="4" spans="1:9">
      <c r="A4" s="46">
        <v>2001</v>
      </c>
      <c r="B4" s="47">
        <v>1129.3</v>
      </c>
      <c r="C4" s="37">
        <v>31.5</v>
      </c>
      <c r="D4" s="37">
        <v>5.71</v>
      </c>
      <c r="E4" s="37">
        <v>54.8333333333333</v>
      </c>
      <c r="F4" s="37">
        <v>71.433333333333294</v>
      </c>
      <c r="G4" s="37">
        <v>30.112505026924698</v>
      </c>
      <c r="H4" s="38">
        <v>31523</v>
      </c>
      <c r="I4" s="37"/>
    </row>
    <row r="5" spans="1:9">
      <c r="A5" s="46">
        <v>2002</v>
      </c>
      <c r="B5" s="47">
        <v>1074.5</v>
      </c>
      <c r="C5" s="37">
        <v>31.8</v>
      </c>
      <c r="D5" s="37">
        <v>3.72</v>
      </c>
      <c r="E5" s="37">
        <v>52.3333333333333</v>
      </c>
      <c r="F5" s="37">
        <v>71.5</v>
      </c>
      <c r="G5" s="37">
        <v>29.741077676696992</v>
      </c>
      <c r="H5" s="38">
        <v>31538</v>
      </c>
      <c r="I5" s="37"/>
    </row>
    <row r="6" spans="1:9">
      <c r="A6" s="46">
        <v>2003</v>
      </c>
      <c r="B6" s="47">
        <v>1085.7</v>
      </c>
      <c r="C6" s="37">
        <v>33</v>
      </c>
      <c r="D6" s="37">
        <v>6.89</v>
      </c>
      <c r="E6" s="37">
        <v>51.3</v>
      </c>
      <c r="F6" s="37">
        <v>72.3333333333333</v>
      </c>
      <c r="G6" s="37">
        <v>27.984625314285164</v>
      </c>
      <c r="H6" s="38">
        <v>29882</v>
      </c>
      <c r="I6" s="37"/>
    </row>
    <row r="7" spans="1:9">
      <c r="A7" s="46">
        <v>2004</v>
      </c>
      <c r="B7" s="47">
        <v>1071.48</v>
      </c>
      <c r="C7" s="37">
        <v>31.9</v>
      </c>
      <c r="D7" s="37">
        <v>1.66</v>
      </c>
      <c r="E7" s="37">
        <v>56.433333333333302</v>
      </c>
      <c r="F7" s="37">
        <v>71.033333333333303</v>
      </c>
      <c r="G7" s="37">
        <v>26.08182458545129</v>
      </c>
      <c r="H7" s="38">
        <v>31774</v>
      </c>
      <c r="I7" s="37"/>
    </row>
    <row r="8" spans="1:9">
      <c r="A8" s="46">
        <v>2005</v>
      </c>
      <c r="B8" s="47">
        <v>1003.96</v>
      </c>
      <c r="C8" s="37">
        <v>34.799999999999997</v>
      </c>
      <c r="D8" s="37">
        <v>8.17</v>
      </c>
      <c r="E8" s="37">
        <v>51.6666666666667</v>
      </c>
      <c r="F8" s="37">
        <v>71.066666666666706</v>
      </c>
      <c r="G8" s="37">
        <v>33.857064715091383</v>
      </c>
      <c r="H8" s="38">
        <v>31892</v>
      </c>
      <c r="I8" s="37"/>
    </row>
    <row r="9" spans="1:9">
      <c r="A9" s="46">
        <v>2006</v>
      </c>
      <c r="B9" s="47">
        <v>963.16</v>
      </c>
      <c r="C9" s="37">
        <v>29.8</v>
      </c>
      <c r="D9" s="37">
        <v>12.28</v>
      </c>
      <c r="E9" s="37">
        <v>50.266666666666701</v>
      </c>
      <c r="F9" s="37">
        <v>72.6666666666667</v>
      </c>
      <c r="G9" s="37">
        <v>36.363127135575184</v>
      </c>
      <c r="H9" s="38">
        <v>37149</v>
      </c>
      <c r="I9" s="37"/>
    </row>
    <row r="10" spans="1:9">
      <c r="A10" s="46">
        <v>2007</v>
      </c>
      <c r="B10" s="47">
        <v>882.37</v>
      </c>
      <c r="C10" s="37">
        <v>28.1</v>
      </c>
      <c r="D10" s="37">
        <v>1.92</v>
      </c>
      <c r="E10" s="37">
        <v>55.266666666666701</v>
      </c>
      <c r="F10" s="37">
        <v>71.8</v>
      </c>
      <c r="G10" s="37">
        <v>32.616931236486607</v>
      </c>
      <c r="H10" s="38">
        <v>50791</v>
      </c>
      <c r="I10" s="37"/>
    </row>
    <row r="11" spans="1:9">
      <c r="A11" s="46">
        <v>2008</v>
      </c>
      <c r="B11" s="47">
        <v>1059.5999999999999</v>
      </c>
      <c r="C11" s="37">
        <v>29.2</v>
      </c>
      <c r="D11" s="37">
        <v>1.05</v>
      </c>
      <c r="E11" s="37">
        <v>52.566666666666698</v>
      </c>
      <c r="F11" s="37">
        <v>72.533333333333303</v>
      </c>
      <c r="G11" s="37">
        <v>31.312372965153546</v>
      </c>
      <c r="H11" s="38">
        <v>64404</v>
      </c>
      <c r="I11" s="37"/>
    </row>
    <row r="12" spans="1:9">
      <c r="A12" s="46">
        <v>2009</v>
      </c>
      <c r="B12" s="47">
        <v>1005.84</v>
      </c>
      <c r="C12" s="37">
        <v>29.8</v>
      </c>
      <c r="D12" s="37">
        <v>2.77</v>
      </c>
      <c r="E12" s="37">
        <v>53.8333333333333</v>
      </c>
      <c r="F12" s="37">
        <v>70.566666666666706</v>
      </c>
      <c r="G12" s="37">
        <v>36.823465310570285</v>
      </c>
      <c r="H12" s="38">
        <v>60112</v>
      </c>
      <c r="I12" s="37"/>
    </row>
    <row r="13" spans="1:9">
      <c r="A13" s="46">
        <v>2010</v>
      </c>
      <c r="B13" s="47">
        <v>1132.8</v>
      </c>
      <c r="C13" s="37">
        <v>34.799999999999997</v>
      </c>
      <c r="D13" s="37">
        <v>6.02</v>
      </c>
      <c r="E13" s="37">
        <v>48.533333333333303</v>
      </c>
      <c r="F13" s="37">
        <v>70.3333333333333</v>
      </c>
      <c r="G13" s="37">
        <v>35.41859566167151</v>
      </c>
      <c r="H13" s="38">
        <v>55921</v>
      </c>
      <c r="I13" s="37"/>
    </row>
    <row r="14" spans="1:9">
      <c r="A14" s="46">
        <v>2011</v>
      </c>
      <c r="B14" s="47">
        <v>1062.0999999999999</v>
      </c>
      <c r="C14" s="37">
        <v>26.5</v>
      </c>
      <c r="D14" s="37">
        <v>8.56</v>
      </c>
      <c r="E14" s="37">
        <v>49.766666666666701</v>
      </c>
      <c r="F14" s="37">
        <v>69.1666666666667</v>
      </c>
      <c r="G14" s="37">
        <v>36.767327438676567</v>
      </c>
      <c r="H14" s="38">
        <v>55384</v>
      </c>
      <c r="I14" s="37"/>
    </row>
    <row r="15" spans="1:9">
      <c r="A15" s="46">
        <v>2012</v>
      </c>
      <c r="B15" s="47">
        <v>961.5</v>
      </c>
      <c r="C15" s="37">
        <v>31.6</v>
      </c>
      <c r="D15" s="37">
        <v>5.91</v>
      </c>
      <c r="E15" s="37">
        <v>53.133333333333297</v>
      </c>
      <c r="F15" s="37">
        <v>71.6666666666667</v>
      </c>
      <c r="G15" s="37">
        <v>42.710882220435863</v>
      </c>
      <c r="H15" s="38">
        <v>65345</v>
      </c>
      <c r="I15" s="37"/>
    </row>
    <row r="16" spans="1:9">
      <c r="A16" s="46">
        <v>2013</v>
      </c>
      <c r="B16" s="47">
        <v>796.94</v>
      </c>
      <c r="C16" s="37">
        <v>28.6</v>
      </c>
      <c r="D16" s="37">
        <v>1.62</v>
      </c>
      <c r="E16" s="37">
        <v>55.866666666666703</v>
      </c>
      <c r="F16" s="37">
        <v>72.766666666666694</v>
      </c>
      <c r="G16" s="37">
        <v>41.936246399523739</v>
      </c>
      <c r="H16" s="38">
        <v>74192</v>
      </c>
      <c r="I16" s="37"/>
    </row>
    <row r="17" spans="1:9">
      <c r="A17" s="46">
        <v>2014</v>
      </c>
      <c r="B17" s="47">
        <v>786.4</v>
      </c>
      <c r="C17" s="37">
        <v>35.5</v>
      </c>
      <c r="D17" s="37">
        <v>3.57</v>
      </c>
      <c r="E17" s="37">
        <v>56.066666666666698</v>
      </c>
      <c r="F17" s="37">
        <v>73</v>
      </c>
      <c r="G17" s="37">
        <v>51.627793974732761</v>
      </c>
      <c r="H17" s="38">
        <v>89274</v>
      </c>
      <c r="I17" s="37"/>
    </row>
    <row r="18" spans="1:9">
      <c r="A18" s="46">
        <v>2015</v>
      </c>
      <c r="B18" s="47">
        <v>710.67</v>
      </c>
      <c r="C18" s="37">
        <v>29</v>
      </c>
      <c r="D18" s="37">
        <v>2.31</v>
      </c>
      <c r="E18" s="37">
        <v>55.266666666666701</v>
      </c>
      <c r="F18" s="37">
        <v>72.5</v>
      </c>
      <c r="G18" s="37">
        <v>47.313455946871301</v>
      </c>
      <c r="H18" s="38">
        <v>108144</v>
      </c>
      <c r="I18" s="37"/>
    </row>
    <row r="19" spans="1:9">
      <c r="A19" s="46">
        <v>2016</v>
      </c>
      <c r="B19" s="47">
        <v>666.7</v>
      </c>
      <c r="C19" s="37">
        <v>31</v>
      </c>
      <c r="D19" s="37">
        <v>5.92</v>
      </c>
      <c r="E19" s="37">
        <v>54.4</v>
      </c>
      <c r="F19" s="37">
        <v>73.099999999999994</v>
      </c>
      <c r="G19" s="37">
        <v>51.975494832272524</v>
      </c>
      <c r="H19" s="38">
        <v>134368</v>
      </c>
      <c r="I19" s="37"/>
    </row>
    <row r="20" spans="1:9">
      <c r="A20" s="46">
        <v>2017</v>
      </c>
      <c r="B20" s="47">
        <v>629.20000000000005</v>
      </c>
      <c r="C20" s="37">
        <v>31.2</v>
      </c>
      <c r="D20" s="37">
        <v>5.19</v>
      </c>
      <c r="E20" s="37">
        <v>53.766666666666701</v>
      </c>
      <c r="F20" s="37">
        <v>74.066666666666706</v>
      </c>
      <c r="G20" s="37">
        <v>56.996174923371811</v>
      </c>
      <c r="H20" s="38">
        <v>161583</v>
      </c>
      <c r="I20" s="37"/>
    </row>
    <row r="21" spans="1:9">
      <c r="A21" s="46">
        <v>2018</v>
      </c>
      <c r="B21" s="47">
        <v>582.79999999999995</v>
      </c>
      <c r="C21" s="37">
        <v>33.299999999999997</v>
      </c>
      <c r="D21" s="37">
        <v>8.98</v>
      </c>
      <c r="E21" s="37">
        <v>53.033333333333303</v>
      </c>
      <c r="F21" s="37">
        <v>73.266666666666694</v>
      </c>
      <c r="G21" s="37">
        <v>51.503224185579107</v>
      </c>
      <c r="H21" s="38">
        <v>196409</v>
      </c>
      <c r="I21" s="37"/>
    </row>
    <row r="22" spans="1:9">
      <c r="A22" s="46">
        <v>2019</v>
      </c>
      <c r="B22" s="47">
        <v>579.20000000000005</v>
      </c>
      <c r="C22" s="37">
        <v>33.799999999999997</v>
      </c>
      <c r="D22" s="37">
        <v>8.1</v>
      </c>
      <c r="E22" s="37">
        <v>51.966666666666697</v>
      </c>
      <c r="F22" s="37">
        <v>72.066666666666706</v>
      </c>
      <c r="G22" s="37">
        <v>52.763213653624049</v>
      </c>
      <c r="H22" s="38">
        <v>204801</v>
      </c>
      <c r="I22" s="37"/>
    </row>
    <row r="23" spans="1:9">
      <c r="A23" s="46">
        <v>2020</v>
      </c>
      <c r="B23" s="47">
        <v>642.29999999999995</v>
      </c>
      <c r="C23" s="37">
        <v>31.3</v>
      </c>
      <c r="D23" s="37">
        <v>6.68</v>
      </c>
      <c r="E23" s="37">
        <v>53.233333333333299</v>
      </c>
      <c r="F23" s="37">
        <v>72.766666666666694</v>
      </c>
      <c r="G23" s="37">
        <v>56.851420049600812</v>
      </c>
      <c r="H23" s="38">
        <v>213394</v>
      </c>
      <c r="I23" s="37"/>
    </row>
    <row r="24" spans="1:9">
      <c r="A24" s="46">
        <v>2021</v>
      </c>
      <c r="B24" s="47">
        <v>695.2</v>
      </c>
      <c r="C24" s="37">
        <v>32</v>
      </c>
      <c r="D24" s="37">
        <v>2.23</v>
      </c>
      <c r="E24" s="37">
        <v>54.3</v>
      </c>
      <c r="F24" s="37">
        <v>75.266666666666694</v>
      </c>
      <c r="G24" s="37">
        <v>55.95399519694174</v>
      </c>
      <c r="H24" s="38">
        <v>257898</v>
      </c>
      <c r="I24" s="37"/>
    </row>
    <row r="25" spans="1:9">
      <c r="A25" s="46">
        <v>2022</v>
      </c>
      <c r="B25" s="47">
        <v>693.7</v>
      </c>
      <c r="C25" s="37">
        <v>33.1</v>
      </c>
      <c r="D25" s="37">
        <v>2.4700000000000002</v>
      </c>
      <c r="E25" s="37">
        <v>53.933333333333302</v>
      </c>
      <c r="F25" s="37">
        <v>73.599999999999994</v>
      </c>
      <c r="G25" s="37">
        <v>59.869097028389291</v>
      </c>
      <c r="H25" s="38">
        <v>298336</v>
      </c>
      <c r="I25" s="37"/>
    </row>
    <row r="26" spans="1:9">
      <c r="A26" s="48">
        <v>2023</v>
      </c>
      <c r="B26" s="49">
        <v>564.6</v>
      </c>
      <c r="C26" s="39">
        <v>35.5</v>
      </c>
      <c r="D26" s="39">
        <v>9.06</v>
      </c>
      <c r="E26" s="39">
        <v>50.933333333333302</v>
      </c>
      <c r="F26" s="39">
        <v>70.8</v>
      </c>
      <c r="G26" s="39">
        <v>67.818647318956323</v>
      </c>
      <c r="H26" s="40">
        <v>310676</v>
      </c>
      <c r="I26" s="37"/>
    </row>
    <row r="27" spans="1:9">
      <c r="F27" s="50"/>
    </row>
  </sheetData>
  <pageMargins left="1" right="1" top="1" bottom="1" header="0.5" footer="0.5"/>
  <pageSetup scale="8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my_peaches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Reed, Ella B</dc:creator>
  <cp:lastModifiedBy>Reed, Ella B</cp:lastModifiedBy>
  <cp:lastPrinted>2025-06-02T17:09:42Z</cp:lastPrinted>
  <dcterms:created xsi:type="dcterms:W3CDTF">2025-05-18T23:54:28Z</dcterms:created>
  <dcterms:modified xsi:type="dcterms:W3CDTF">2026-01-13T21:46:31Z</dcterms:modified>
</cp:coreProperties>
</file>